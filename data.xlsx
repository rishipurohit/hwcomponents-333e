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i/Documents/Harvard/6/6.5930/project/"/>
    </mc:Choice>
  </mc:AlternateContent>
  <xr:revisionPtr revIDLastSave="0" documentId="13_ncr:1_{C1CF99D5-27B8-744B-97E3-B627CA8D3E5D}" xr6:coauthVersionLast="47" xr6:coauthVersionMax="47" xr10:uidLastSave="{00000000-0000-0000-0000-000000000000}"/>
  <bookViews>
    <workbookView xWindow="680" yWindow="660" windowWidth="28040" windowHeight="17160" xr2:uid="{E2A15C80-2BF3-FC42-A0BC-EE3A6C5F2C98}"/>
  </bookViews>
  <sheets>
    <sheet name="Experiment 2" sheetId="1" r:id="rId1"/>
    <sheet name="Experiment 1" sheetId="2" r:id="rId2"/>
    <sheet name="Experiment 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2" i="2"/>
  <c r="E3" i="2"/>
  <c r="E4" i="2"/>
  <c r="E5" i="2"/>
  <c r="E2" i="2"/>
  <c r="D3" i="2"/>
  <c r="D4" i="2"/>
  <c r="D5" i="2"/>
  <c r="D2" i="2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G4" i="3"/>
  <c r="G2" i="3"/>
  <c r="F4" i="3"/>
  <c r="F2" i="3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B12" i="1"/>
  <c r="B11" i="1"/>
</calcChain>
</file>

<file path=xl/sharedStrings.xml><?xml version="1.0" encoding="utf-8"?>
<sst xmlns="http://schemas.openxmlformats.org/spreadsheetml/2006/main" count="37" uniqueCount="12">
  <si>
    <t>Energy</t>
  </si>
  <si>
    <t>Latency</t>
  </si>
  <si>
    <t>Control</t>
  </si>
  <si>
    <t>333eDRAM</t>
  </si>
  <si>
    <t>Both</t>
  </si>
  <si>
    <t>Local Buffer</t>
  </si>
  <si>
    <t>Global Buffer</t>
  </si>
  <si>
    <t>Fused</t>
  </si>
  <si>
    <t>Unfused</t>
  </si>
  <si>
    <t>333 eDRAM</t>
  </si>
  <si>
    <t>EDP</t>
  </si>
  <si>
    <t>Energy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</si>
</sst>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.AppleSystemUIFontMonospaced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'Experiment 2'!$J$16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2'!$I$17:$I$30</c:f>
              <c:numCache>
                <c:formatCode>General</c:formatCode>
                <c:ptCount val="14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  <c:pt idx="3">
                  <c:v>136</c:v>
                </c:pt>
                <c:pt idx="4">
                  <c:v>144</c:v>
                </c:pt>
                <c:pt idx="5">
                  <c:v>160</c:v>
                </c:pt>
                <c:pt idx="6">
                  <c:v>192</c:v>
                </c:pt>
                <c:pt idx="7">
                  <c:v>256</c:v>
                </c:pt>
                <c:pt idx="8">
                  <c:v>512</c:v>
                </c:pt>
                <c:pt idx="9">
                  <c:v>768</c:v>
                </c:pt>
                <c:pt idx="10">
                  <c:v>1024</c:v>
                </c:pt>
                <c:pt idx="11">
                  <c:v>1280</c:v>
                </c:pt>
                <c:pt idx="12">
                  <c:v>1536</c:v>
                </c:pt>
                <c:pt idx="13">
                  <c:v>2048</c:v>
                </c:pt>
              </c:numCache>
            </c:numRef>
          </c:xVal>
          <c:yVal>
            <c:numRef>
              <c:f>'Experiment 2'!$J$17:$J$30</c:f>
              <c:numCache>
                <c:formatCode>General</c:formatCode>
                <c:ptCount val="14"/>
                <c:pt idx="0">
                  <c:v>1.5954165201018299E-2</c:v>
                </c:pt>
                <c:pt idx="1">
                  <c:v>1.6945756269734501E-2</c:v>
                </c:pt>
                <c:pt idx="2">
                  <c:v>1.8318146868967801E-2</c:v>
                </c:pt>
                <c:pt idx="3">
                  <c:v>1.8780025296622298E-2</c:v>
                </c:pt>
                <c:pt idx="4">
                  <c:v>1.9223188827286498E-2</c:v>
                </c:pt>
                <c:pt idx="5">
                  <c:v>2.01110129786134E-2</c:v>
                </c:pt>
                <c:pt idx="6">
                  <c:v>2.1892650176953399E-2</c:v>
                </c:pt>
                <c:pt idx="7">
                  <c:v>2.5479881211392E-2</c:v>
                </c:pt>
                <c:pt idx="8">
                  <c:v>4.0301934918849897E-2</c:v>
                </c:pt>
                <c:pt idx="9">
                  <c:v>5.5788768505932201E-2</c:v>
                </c:pt>
                <c:pt idx="10">
                  <c:v>7.2244586904715094E-2</c:v>
                </c:pt>
                <c:pt idx="11">
                  <c:v>8.9137032679027603E-2</c:v>
                </c:pt>
                <c:pt idx="12">
                  <c:v>0.106694256518977</c:v>
                </c:pt>
                <c:pt idx="13">
                  <c:v>0.146181049353522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F-924F-9951-271CB234625F}"/>
            </c:ext>
          </c:extLst>
        </c:ser>
        <c:ser>
          <c:idx val="1"/>
          <c:order val="1"/>
          <c:tx>
            <c:strRef>
              <c:f>'Experiment 2'!$K$16</c:f>
              <c:strCache>
                <c:ptCount val="1"/>
                <c:pt idx="0">
                  <c:v>333eDRAM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2'!$I$17:$I$30</c:f>
              <c:numCache>
                <c:formatCode>General</c:formatCode>
                <c:ptCount val="14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  <c:pt idx="3">
                  <c:v>136</c:v>
                </c:pt>
                <c:pt idx="4">
                  <c:v>144</c:v>
                </c:pt>
                <c:pt idx="5">
                  <c:v>160</c:v>
                </c:pt>
                <c:pt idx="6">
                  <c:v>192</c:v>
                </c:pt>
                <c:pt idx="7">
                  <c:v>256</c:v>
                </c:pt>
                <c:pt idx="8">
                  <c:v>512</c:v>
                </c:pt>
                <c:pt idx="9">
                  <c:v>768</c:v>
                </c:pt>
                <c:pt idx="10">
                  <c:v>1024</c:v>
                </c:pt>
                <c:pt idx="11">
                  <c:v>1280</c:v>
                </c:pt>
                <c:pt idx="12">
                  <c:v>1536</c:v>
                </c:pt>
                <c:pt idx="13">
                  <c:v>2048</c:v>
                </c:pt>
              </c:numCache>
            </c:numRef>
          </c:xVal>
          <c:yVal>
            <c:numRef>
              <c:f>'Experiment 2'!$K$17:$K$30</c:f>
              <c:numCache>
                <c:formatCode>General</c:formatCode>
                <c:ptCount val="14"/>
                <c:pt idx="0">
                  <c:v>1.47913035107234E-2</c:v>
                </c:pt>
                <c:pt idx="1">
                  <c:v>1.5843654576779699E-2</c:v>
                </c:pt>
                <c:pt idx="2">
                  <c:v>1.7156903327409E-2</c:v>
                </c:pt>
                <c:pt idx="3">
                  <c:v>1.7595656363261099E-2</c:v>
                </c:pt>
                <c:pt idx="4">
                  <c:v>1.7972411432424E-2</c:v>
                </c:pt>
                <c:pt idx="5">
                  <c:v>1.86313706975741E-2</c:v>
                </c:pt>
                <c:pt idx="6">
                  <c:v>2.00832919387759E-2</c:v>
                </c:pt>
                <c:pt idx="7">
                  <c:v>2.28833025482932E-2</c:v>
                </c:pt>
                <c:pt idx="8">
                  <c:v>3.5195593313390998E-2</c:v>
                </c:pt>
                <c:pt idx="9">
                  <c:v>4.7906133309306299E-2</c:v>
                </c:pt>
                <c:pt idx="10">
                  <c:v>6.3201416093534496E-2</c:v>
                </c:pt>
                <c:pt idx="11">
                  <c:v>7.4530193273263504E-2</c:v>
                </c:pt>
                <c:pt idx="12">
                  <c:v>0.10235559124443799</c:v>
                </c:pt>
                <c:pt idx="13">
                  <c:v>0.145674955486538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BF-924F-9951-271CB2346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91232"/>
        <c:axId val="1264193024"/>
      </c:scatterChart>
      <c:valAx>
        <c:axId val="126419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93024"/>
        <c:crosses val="autoZero"/>
        <c:crossBetween val="midCat"/>
      </c:valAx>
      <c:valAx>
        <c:axId val="12641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9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GPT Workload Energy vs. Sequence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'Experiment 2'!$C$18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2'!$B$19:$B$25</c:f>
              <c:numCache>
                <c:formatCode>General</c:formatCode>
                <c:ptCount val="7"/>
                <c:pt idx="0">
                  <c:v>96</c:v>
                </c:pt>
                <c:pt idx="1">
                  <c:v>128</c:v>
                </c:pt>
                <c:pt idx="2">
                  <c:v>136</c:v>
                </c:pt>
                <c:pt idx="3">
                  <c:v>144</c:v>
                </c:pt>
                <c:pt idx="4">
                  <c:v>160</c:v>
                </c:pt>
                <c:pt idx="5">
                  <c:v>192</c:v>
                </c:pt>
              </c:numCache>
            </c:numRef>
          </c:xVal>
          <c:yVal>
            <c:numRef>
              <c:f>'Experiment 2'!$C$19:$C$25</c:f>
              <c:numCache>
                <c:formatCode>General</c:formatCode>
                <c:ptCount val="7"/>
                <c:pt idx="0">
                  <c:v>1.6945756269734501E-2</c:v>
                </c:pt>
                <c:pt idx="1">
                  <c:v>1.8318146868967801E-2</c:v>
                </c:pt>
                <c:pt idx="2">
                  <c:v>1.8780025296622298E-2</c:v>
                </c:pt>
                <c:pt idx="3">
                  <c:v>1.9223188827286498E-2</c:v>
                </c:pt>
                <c:pt idx="4">
                  <c:v>2.01110129786134E-2</c:v>
                </c:pt>
                <c:pt idx="5">
                  <c:v>2.1892650176953399E-2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7-C84C-98DB-54D3B4628DDA}"/>
            </c:ext>
          </c:extLst>
        </c:ser>
        <c:ser>
          <c:idx val="1"/>
          <c:order val="1"/>
          <c:tx>
            <c:strRef>
              <c:f>'Experiment 2'!$D$18</c:f>
              <c:strCache>
                <c:ptCount val="1"/>
                <c:pt idx="0">
                  <c:v>333eDRAM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2'!$B$19:$B$25</c:f>
              <c:numCache>
                <c:formatCode>General</c:formatCode>
                <c:ptCount val="7"/>
                <c:pt idx="0">
                  <c:v>96</c:v>
                </c:pt>
                <c:pt idx="1">
                  <c:v>128</c:v>
                </c:pt>
                <c:pt idx="2">
                  <c:v>136</c:v>
                </c:pt>
                <c:pt idx="3">
                  <c:v>144</c:v>
                </c:pt>
                <c:pt idx="4">
                  <c:v>160</c:v>
                </c:pt>
                <c:pt idx="5">
                  <c:v>192</c:v>
                </c:pt>
              </c:numCache>
            </c:numRef>
          </c:xVal>
          <c:yVal>
            <c:numRef>
              <c:f>'Experiment 2'!$D$19:$D$25</c:f>
              <c:numCache>
                <c:formatCode>General</c:formatCode>
                <c:ptCount val="7"/>
                <c:pt idx="0">
                  <c:v>1.5843654576779699E-2</c:v>
                </c:pt>
                <c:pt idx="1">
                  <c:v>1.7156903327409E-2</c:v>
                </c:pt>
                <c:pt idx="2">
                  <c:v>1.7595656363261099E-2</c:v>
                </c:pt>
                <c:pt idx="3">
                  <c:v>1.7972411432424E-2</c:v>
                </c:pt>
                <c:pt idx="4">
                  <c:v>1.86313706975741E-2</c:v>
                </c:pt>
                <c:pt idx="5">
                  <c:v>2.00832919387759E-2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7-C84C-98DB-54D3B4628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91232"/>
        <c:axId val="1264193024"/>
      </c:scatterChart>
      <c:valAx>
        <c:axId val="1264191232"/>
        <c:scaling>
          <c:orientation val="minMax"/>
          <c:min val="7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93024"/>
        <c:crosses val="autoZero"/>
        <c:crossBetween val="midCat"/>
      </c:valAx>
      <c:valAx>
        <c:axId val="1264193024"/>
        <c:scaling>
          <c:orientation val="minMax"/>
          <c:max val="2.3000000000000003E-2"/>
          <c:min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9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GPT Workload EDP vs. Sequence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'Experiment 2'!$T$16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2'!$S$17:$S$30</c:f>
              <c:numCache>
                <c:formatCode>General</c:formatCode>
                <c:ptCount val="14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  <c:pt idx="3">
                  <c:v>136</c:v>
                </c:pt>
                <c:pt idx="4">
                  <c:v>144</c:v>
                </c:pt>
                <c:pt idx="5">
                  <c:v>160</c:v>
                </c:pt>
                <c:pt idx="6">
                  <c:v>192</c:v>
                </c:pt>
                <c:pt idx="7">
                  <c:v>256</c:v>
                </c:pt>
                <c:pt idx="8">
                  <c:v>512</c:v>
                </c:pt>
                <c:pt idx="9">
                  <c:v>768</c:v>
                </c:pt>
                <c:pt idx="10">
                  <c:v>1024</c:v>
                </c:pt>
                <c:pt idx="11">
                  <c:v>1280</c:v>
                </c:pt>
                <c:pt idx="12">
                  <c:v>1536</c:v>
                </c:pt>
                <c:pt idx="13">
                  <c:v>2048</c:v>
                </c:pt>
              </c:numCache>
            </c:numRef>
          </c:xVal>
          <c:yVal>
            <c:numRef>
              <c:f>'Experiment 2'!$T$17:$T$30</c:f>
              <c:numCache>
                <c:formatCode>General</c:formatCode>
                <c:ptCount val="14"/>
                <c:pt idx="0">
                  <c:v>5.2653066698009626E-6</c:v>
                </c:pt>
                <c:pt idx="1">
                  <c:v>5.6137351373178551E-6</c:v>
                </c:pt>
                <c:pt idx="2">
                  <c:v>6.931447204735704E-6</c:v>
                </c:pt>
                <c:pt idx="3">
                  <c:v>7.590492891338815E-6</c:v>
                </c:pt>
                <c:pt idx="4">
                  <c:v>8.2279645198220747E-6</c:v>
                </c:pt>
                <c:pt idx="5">
                  <c:v>9.5674790129270276E-6</c:v>
                </c:pt>
                <c:pt idx="6">
                  <c:v>1.2506083067317275E-5</c:v>
                </c:pt>
                <c:pt idx="7">
                  <c:v>1.9431879530613763E-5</c:v>
                </c:pt>
                <c:pt idx="8">
                  <c:v>6.2414723771681398E-5</c:v>
                </c:pt>
                <c:pt idx="9">
                  <c:v>1.3155693462493949E-4</c:v>
                </c:pt>
                <c:pt idx="10">
                  <c:v>2.3053096299549748E-4</c:v>
                </c:pt>
                <c:pt idx="11">
                  <c:v>3.6075878575417866E-4</c:v>
                </c:pt>
                <c:pt idx="12">
                  <c:v>5.2567225743385898E-4</c:v>
                </c:pt>
                <c:pt idx="13">
                  <c:v>9.8766488077471604E-4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F-3447-A575-1B48FC57E8D4}"/>
            </c:ext>
          </c:extLst>
        </c:ser>
        <c:ser>
          <c:idx val="1"/>
          <c:order val="1"/>
          <c:tx>
            <c:strRef>
              <c:f>'Experiment 2'!$U$16</c:f>
              <c:strCache>
                <c:ptCount val="1"/>
                <c:pt idx="0">
                  <c:v>333eDRAM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2'!$S$17:$S$30</c:f>
              <c:numCache>
                <c:formatCode>General</c:formatCode>
                <c:ptCount val="14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  <c:pt idx="3">
                  <c:v>136</c:v>
                </c:pt>
                <c:pt idx="4">
                  <c:v>144</c:v>
                </c:pt>
                <c:pt idx="5">
                  <c:v>160</c:v>
                </c:pt>
                <c:pt idx="6">
                  <c:v>192</c:v>
                </c:pt>
                <c:pt idx="7">
                  <c:v>256</c:v>
                </c:pt>
                <c:pt idx="8">
                  <c:v>512</c:v>
                </c:pt>
                <c:pt idx="9">
                  <c:v>768</c:v>
                </c:pt>
                <c:pt idx="10">
                  <c:v>1024</c:v>
                </c:pt>
                <c:pt idx="11">
                  <c:v>1280</c:v>
                </c:pt>
                <c:pt idx="12">
                  <c:v>1536</c:v>
                </c:pt>
                <c:pt idx="13">
                  <c:v>2048</c:v>
                </c:pt>
              </c:numCache>
            </c:numRef>
          </c:xVal>
          <c:yVal>
            <c:numRef>
              <c:f>'Experiment 2'!$U$17:$U$30</c:f>
              <c:numCache>
                <c:formatCode>General</c:formatCode>
                <c:ptCount val="14"/>
                <c:pt idx="0">
                  <c:v>4.8977887845035872E-6</c:v>
                </c:pt>
                <c:pt idx="1">
                  <c:v>5.2758975618711511E-6</c:v>
                </c:pt>
                <c:pt idx="2">
                  <c:v>6.5118125235327929E-6</c:v>
                </c:pt>
                <c:pt idx="3">
                  <c:v>7.1187527662928603E-6</c:v>
                </c:pt>
                <c:pt idx="4">
                  <c:v>7.7005697216681432E-6</c:v>
                </c:pt>
                <c:pt idx="5">
                  <c:v>8.8635638752093337E-6</c:v>
                </c:pt>
                <c:pt idx="6">
                  <c:v>1.1505228650590748E-5</c:v>
                </c:pt>
                <c:pt idx="7">
                  <c:v>1.7539534449219489E-5</c:v>
                </c:pt>
                <c:pt idx="8">
                  <c:v>5.5136492171700146E-5</c:v>
                </c:pt>
                <c:pt idx="9">
                  <c:v>1.1500804963780695E-4</c:v>
                </c:pt>
                <c:pt idx="10">
                  <c:v>2.0619851444619749E-4</c:v>
                </c:pt>
                <c:pt idx="11">
                  <c:v>3.0997746702159627E-4</c:v>
                </c:pt>
                <c:pt idx="12">
                  <c:v>5.1509313573522091E-4</c:v>
                </c:pt>
                <c:pt idx="13">
                  <c:v>1.0115639595073499E-3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AF-3447-A575-1B48FC57E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91232"/>
        <c:axId val="1264193024"/>
      </c:scatterChart>
      <c:valAx>
        <c:axId val="126419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93024"/>
        <c:crosses val="autoZero"/>
        <c:crossBetween val="midCat"/>
      </c:valAx>
      <c:valAx>
        <c:axId val="12641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EDP (J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9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Changes</a:t>
            </a:r>
            <a:r>
              <a:rPr lang="en-US" baseline="0"/>
              <a:t> in Energy From Replacement of SRAM Caches with  333-eDRAM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'Experiment 1'!$B$1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EA-DC46-B2F0-CAD2E0F87BB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EA-DC46-B2F0-CAD2E0F87B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EA-DC46-B2F0-CAD2E0F87BB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EA-DC46-B2F0-CAD2E0F87BB1}"/>
              </c:ext>
            </c:extLst>
          </c:dPt>
          <c:cat>
            <c:strRef>
              <c:f>'Experiment 1'!$A$2:$A$5</c:f>
              <c:strCache>
                <c:ptCount val="4"/>
                <c:pt idx="0">
                  <c:v>Control</c:v>
                </c:pt>
                <c:pt idx="1">
                  <c:v>Local Buffer</c:v>
                </c:pt>
                <c:pt idx="2">
                  <c:v>Global Buffer</c:v>
                </c:pt>
                <c:pt idx="3">
                  <c:v>Both</c:v>
                </c:pt>
              </c:strCache>
            </c:strRef>
          </c:cat>
          <c:val>
            <c:numRef>
              <c:f>'Experiment 1'!$B$2:$B$5</c:f>
              <c:numCache>
                <c:formatCode>General</c:formatCode>
                <c:ptCount val="4"/>
                <c:pt idx="0">
                  <c:v>7.2244586904715094E-2</c:v>
                </c:pt>
                <c:pt idx="1">
                  <c:v>8.2569069279349594E-2</c:v>
                </c:pt>
                <c:pt idx="2">
                  <c:v>6.3201416093534496E-2</c:v>
                </c:pt>
                <c:pt idx="3">
                  <c:v>7.3300504744262501E-2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A-DC46-B2F0-CAD2E0F8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415360"/>
        <c:axId val="1230207424"/>
      </c:barChart>
      <c:catAx>
        <c:axId val="1231415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Memories Replaced by 333-eDRAM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07424"/>
        <c:crosses val="autoZero"/>
        <c:auto val="1"/>
        <c:lblAlgn val="ctr"/>
        <c:lblOffset val="100"/>
        <c:noMultiLvlLbl val="0"/>
      </c:catAx>
      <c:valAx>
        <c:axId val="12302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Energy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41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of Fused vs. Unfused</a:t>
            </a:r>
            <a:r>
              <a:rPr lang="en-US" baseline="0"/>
              <a:t> GPT Workload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'Experiment 3'!$C$1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C7-FE42-951F-A535BE4335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C7-FE42-951F-A535BE433511}"/>
              </c:ext>
            </c:extLst>
          </c:dPt>
          <c:cat>
            <c:multiLvlStrRef>
              <c:f>'Experiment 3'!$A$2:$B$5</c:f>
              <c:multiLvlStrCache>
                <c:ptCount val="4"/>
                <c:lvl>
                  <c:pt idx="0">
                    <c:v>Fused</c:v>
                  </c:pt>
                  <c:pt idx="1">
                    <c:v>Unfused</c:v>
                  </c:pt>
                  <c:pt idx="2">
                    <c:v>Fused</c:v>
                  </c:pt>
                  <c:pt idx="3">
                    <c:v>Unfused</c:v>
                  </c:pt>
                </c:lvl>
                <c:lvl>
                  <c:pt idx="0">
                    <c:v>Control</c:v>
                  </c:pt>
                  <c:pt idx="2">
                    <c:v>333 eDRAM</c:v>
                  </c:pt>
                </c:lvl>
              </c:multiLvlStrCache>
            </c:multiLvlStrRef>
          </c:cat>
          <c:val>
            <c:numRef>
              <c:f>'Experiment 3'!$C$2:$C$5</c:f>
              <c:numCache>
                <c:formatCode>General</c:formatCode>
                <c:ptCount val="4"/>
                <c:pt idx="0">
                  <c:v>7.2244586904715094E-2</c:v>
                </c:pt>
                <c:pt idx="1">
                  <c:v>7.4443207507083095E-2</c:v>
                </c:pt>
                <c:pt idx="2">
                  <c:v>6.3201416093534496E-2</c:v>
                </c:pt>
                <c:pt idx="3">
                  <c:v>6.7103297340102494E-2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7-FE42-951F-A535BE433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6"/>
        <c:overlap val="-27"/>
        <c:axId val="1139765056"/>
        <c:axId val="1139761024"/>
      </c:barChart>
      <c:catAx>
        <c:axId val="11397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761024"/>
        <c:crosses val="autoZero"/>
        <c:auto val="1"/>
        <c:lblAlgn val="ctr"/>
        <c:lblOffset val="100"/>
        <c:noMultiLvlLbl val="0"/>
      </c:catAx>
      <c:valAx>
        <c:axId val="11397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Energy</a:t>
                </a:r>
                <a:r>
                  <a:rPr lang="en-US" sz="1100" baseline="0"/>
                  <a:t> (J)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76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94992</xdr:colOff>
      <xdr:row>31</xdr:row>
      <xdr:rowOff>82679</xdr:rowOff>
    </xdr:from>
    <xdr:to>
      <xdr:col>15</xdr:col>
      <xdr:colOff>485657</xdr:colOff>
      <xdr:row>49</xdr:row>
      <xdr:rowOff>128668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BA404-EF49-21E3-8160-0EB5D3C9D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12700</xdr:rowOff>
    </xdr:from>
    <xdr:to>
      <xdr:col>7</xdr:col>
      <xdr:colOff>390665</xdr:colOff>
      <xdr:row>49</xdr:row>
      <xdr:rowOff>58689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CD7DAE-9E0F-3041-87E5-9A94E23CB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43296</xdr:colOff>
      <xdr:row>52</xdr:row>
      <xdr:rowOff>43295</xdr:rowOff>
    </xdr:from>
    <xdr:to>
      <xdr:col>21</xdr:col>
      <xdr:colOff>412174</xdr:colOff>
      <xdr:row>72</xdr:row>
      <xdr:rowOff>43295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F99DE8-0B9F-1F7F-175D-4D8778A4D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59825"/>
        <a:stretch>
          <a:fillRect/>
        </a:stretch>
      </xdr:blipFill>
      <xdr:spPr>
        <a:xfrm>
          <a:off x="9914660" y="10679545"/>
          <a:ext cx="7772400" cy="4040909"/>
        </a:xfrm>
        <a:prstGeom prst="rect">
          <a:avLst/>
        </a:prstGeom>
      </xdr:spPr>
    </xdr:pic>
    <xdr:clientData/>
  </xdr:twoCellAnchor>
  <xdr:twoCellAnchor editAs="oneCell">
    <xdr:from>
      <xdr:col>1</xdr:col>
      <xdr:colOff>620568</xdr:colOff>
      <xdr:row>52</xdr:row>
      <xdr:rowOff>173182</xdr:rowOff>
    </xdr:from>
    <xdr:to>
      <xdr:col>10</xdr:col>
      <xdr:colOff>758537</xdr:colOff>
      <xdr:row>71</xdr:row>
      <xdr:rowOff>57727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BBFE69-16D2-69AA-BB43-36DD18BC18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62982"/>
        <a:stretch>
          <a:fillRect/>
        </a:stretch>
      </xdr:blipFill>
      <xdr:spPr>
        <a:xfrm>
          <a:off x="1443182" y="10809432"/>
          <a:ext cx="7772400" cy="3723409"/>
        </a:xfrm>
        <a:prstGeom prst="rect">
          <a:avLst/>
        </a:prstGeom>
      </xdr:spPr>
    </xdr:pic>
    <xdr:clientData/>
  </xdr:twoCellAnchor>
  <xdr:twoCellAnchor>
    <xdr:from>
      <xdr:col>17</xdr:col>
      <xdr:colOff>719667</xdr:colOff>
      <xdr:row>31</xdr:row>
      <xdr:rowOff>42332</xdr:rowOff>
    </xdr:from>
    <xdr:to>
      <xdr:col>25</xdr:col>
      <xdr:colOff>284833</xdr:colOff>
      <xdr:row>49</xdr:row>
      <xdr:rowOff>88322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AAD16A-EAB3-6044-A998-F757B43D9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743528</xdr:colOff>
      <xdr:row>31</xdr:row>
      <xdr:rowOff>144616</xdr:rowOff>
    </xdr:from>
    <xdr:to>
      <xdr:col>11</xdr:col>
      <xdr:colOff>332695</xdr:colOff>
      <xdr:row>38</xdr:row>
      <xdr:rowOff>64764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9C004E8-8CA1-A252-4A37-405E9AB87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83007" y="6620293"/>
          <a:ext cx="2069636" cy="1355513"/>
        </a:xfrm>
        <a:prstGeom prst="rect">
          <a:avLst/>
        </a:prstGeom>
        <a:ln w="38100">
          <a:solidFill>
            <a:schemeClr val="tx1"/>
          </a:solidFill>
          <a:prstDash val="solid"/>
        </a:ln>
      </xdr:spPr>
    </xdr:pic>
    <xdr:clientData/>
  </xdr:twoCellAnchor>
  <xdr:twoCellAnchor>
    <xdr:from>
      <xdr:col>9</xdr:col>
      <xdr:colOff>668867</xdr:colOff>
      <xdr:row>31</xdr:row>
      <xdr:rowOff>203199</xdr:rowOff>
    </xdr:from>
    <xdr:to>
      <xdr:col>9</xdr:col>
      <xdr:colOff>668867</xdr:colOff>
      <xdr:row>37</xdr:row>
      <xdr:rowOff>110066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4CAA306-BA41-BF32-82A3-CE57B9FD2D2C}"/>
            </a:ext>
          </a:extLst>
        </xdr:cNvPr>
        <xdr:cNvCxnSpPr/>
      </xdr:nvCxnSpPr>
      <xdr:spPr>
        <a:xfrm>
          <a:off x="8365067" y="6654799"/>
          <a:ext cx="0" cy="1126067"/>
        </a:xfrm>
        <a:prstGeom prst="line">
          <a:avLst/>
        </a:prstGeom>
        <a:ln w="12700">
          <a:solidFill>
            <a:srgbClr val="FF0000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279400</xdr:colOff>
      <xdr:row>32</xdr:row>
      <xdr:rowOff>25400</xdr:rowOff>
    </xdr:from>
    <xdr:to>
      <xdr:col>12</xdr:col>
      <xdr:colOff>279400</xdr:colOff>
      <xdr:row>45</xdr:row>
      <xdr:rowOff>84667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FF040D7-BEEB-5E44-9BC2-77F8D10453AF}"/>
            </a:ext>
          </a:extLst>
        </xdr:cNvPr>
        <xdr:cNvCxnSpPr/>
      </xdr:nvCxnSpPr>
      <xdr:spPr>
        <a:xfrm>
          <a:off x="10464800" y="6680200"/>
          <a:ext cx="0" cy="2700867"/>
        </a:xfrm>
        <a:prstGeom prst="line">
          <a:avLst/>
        </a:prstGeom>
        <a:ln w="28575">
          <a:solidFill>
            <a:srgbClr val="FF0000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186267</xdr:colOff>
      <xdr:row>42</xdr:row>
      <xdr:rowOff>194733</xdr:rowOff>
    </xdr:from>
    <xdr:to>
      <xdr:col>9</xdr:col>
      <xdr:colOff>186267</xdr:colOff>
      <xdr:row>44</xdr:row>
      <xdr:rowOff>194733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8ABABB4-2995-3945-94D1-AEB5FB30B558}"/>
            </a:ext>
          </a:extLst>
        </xdr:cNvPr>
        <xdr:cNvCxnSpPr/>
      </xdr:nvCxnSpPr>
      <xdr:spPr>
        <a:xfrm>
          <a:off x="7882467" y="8881533"/>
          <a:ext cx="0" cy="406400"/>
        </a:xfrm>
        <a:prstGeom prst="line">
          <a:avLst/>
        </a:prstGeom>
        <a:ln w="28575">
          <a:solidFill>
            <a:srgbClr val="FF0000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0.11833</cdr:x>
      <cdr:y>0.63197</cdr:y>
    </cdr:from>
    <cdr:to>
      <cdr:x>0.18874</cdr:x>
      <cdr:y>0.7417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51059AC-C069-1060-EF83-615FC8F64C24}"/>
            </a:ext>
          </a:extLst>
        </cdr:cNvPr>
        <cdr:cNvSpPr/>
      </cdr:nvSpPr>
      <cdr:spPr>
        <a:xfrm xmlns:a="http://schemas.openxmlformats.org/drawingml/2006/main">
          <a:off x="727622" y="2327435"/>
          <a:ext cx="432954" cy="4040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prstDash val="dash"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sX0" fmla="*/ 0 w 432954"/>
                    <a:gd name="csY0" fmla="*/ 0 h 404091"/>
                    <a:gd name="csX1" fmla="*/ 432954 w 432954"/>
                    <a:gd name="csY1" fmla="*/ 0 h 404091"/>
                    <a:gd name="csX2" fmla="*/ 432954 w 432954"/>
                    <a:gd name="csY2" fmla="*/ 404091 h 404091"/>
                    <a:gd name="csX3" fmla="*/ 0 w 432954"/>
                    <a:gd name="csY3" fmla="*/ 404091 h 404091"/>
                    <a:gd name="csX4" fmla="*/ 0 w 432954"/>
                    <a:gd name="csY4" fmla="*/ 0 h 404091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</a:cxnLst>
                  <a:rect l="l" t="t" r="r" b="b"/>
                  <a:pathLst>
                    <a:path w="432954" h="404091" extrusionOk="0">
                      <a:moveTo>
                        <a:pt x="0" y="0"/>
                      </a:moveTo>
                      <a:cubicBezTo>
                        <a:pt x="138793" y="6561"/>
                        <a:pt x="297864" y="-14895"/>
                        <a:pt x="432954" y="0"/>
                      </a:cubicBezTo>
                      <a:cubicBezTo>
                        <a:pt x="448945" y="153556"/>
                        <a:pt x="434467" y="309905"/>
                        <a:pt x="432954" y="404091"/>
                      </a:cubicBezTo>
                      <a:cubicBezTo>
                        <a:pt x="298503" y="418202"/>
                        <a:pt x="177414" y="411797"/>
                        <a:pt x="0" y="404091"/>
                      </a:cubicBezTo>
                      <a:cubicBezTo>
                        <a:pt x="18516" y="278146"/>
                        <a:pt x="16919" y="106830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0.10033</cdr:x>
      <cdr:y>0.38448</cdr:y>
    </cdr:from>
    <cdr:to>
      <cdr:x>0.11834</cdr:x>
      <cdr:y>0.63287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9982AC3E-8F1A-37F7-DCDB-3D328BD73A4B}"/>
            </a:ext>
          </a:extLst>
        </cdr:cNvPr>
        <cdr:cNvCxnSpPr/>
      </cdr:nvCxnSpPr>
      <cdr:spPr>
        <a:xfrm xmlns:a="http://schemas.openxmlformats.org/drawingml/2006/main" flipH="1" flipV="1">
          <a:off x="620698" y="1425884"/>
          <a:ext cx="111423" cy="921204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0.18913</cdr:x>
      <cdr:y>0.38258</cdr:y>
    </cdr:from>
    <cdr:to>
      <cdr:x>0.44286</cdr:x>
      <cdr:y>0.63351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C090E345-EAD7-ABD8-C567-1901E735A29D}"/>
            </a:ext>
          </a:extLst>
        </cdr:cNvPr>
        <cdr:cNvCxnSpPr/>
      </cdr:nvCxnSpPr>
      <cdr:spPr>
        <a:xfrm xmlns:a="http://schemas.openxmlformats.org/drawingml/2006/main" flipV="1">
          <a:off x="1170050" y="1418868"/>
          <a:ext cx="1569654" cy="930589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0.25178</cdr:x>
      <cdr:y>0.27614</cdr:y>
    </cdr:from>
    <cdr:to>
      <cdr:x>0.84484</cdr:x>
      <cdr:y>0.60273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BD82FEE-2D17-0ED0-2D39-5647D4E4A25C}"/>
            </a:ext>
          </a:extLst>
        </cdr:cNvPr>
        <cdr:cNvCxnSpPr/>
      </cdr:nvCxnSpPr>
      <cdr:spPr>
        <a:xfrm xmlns:a="http://schemas.openxmlformats.org/drawingml/2006/main" flipV="1">
          <a:off x="1609313" y="1024629"/>
          <a:ext cx="3790611" cy="121183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0.11833</cdr:x>
      <cdr:y>0.63197</cdr:y>
    </cdr:from>
    <cdr:to>
      <cdr:x>0.18874</cdr:x>
      <cdr:y>0.7417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51059AC-C069-1060-EF83-615FC8F64C24}"/>
            </a:ext>
          </a:extLst>
        </cdr:cNvPr>
        <cdr:cNvSpPr/>
      </cdr:nvSpPr>
      <cdr:spPr>
        <a:xfrm xmlns:a="http://schemas.openxmlformats.org/drawingml/2006/main">
          <a:off x="727622" y="2327435"/>
          <a:ext cx="432954" cy="4040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prstDash val="dash"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sX0" fmla="*/ 0 w 432954"/>
                    <a:gd name="csY0" fmla="*/ 0 h 404091"/>
                    <a:gd name="csX1" fmla="*/ 432954 w 432954"/>
                    <a:gd name="csY1" fmla="*/ 0 h 404091"/>
                    <a:gd name="csX2" fmla="*/ 432954 w 432954"/>
                    <a:gd name="csY2" fmla="*/ 404091 h 404091"/>
                    <a:gd name="csX3" fmla="*/ 0 w 432954"/>
                    <a:gd name="csY3" fmla="*/ 404091 h 404091"/>
                    <a:gd name="csX4" fmla="*/ 0 w 432954"/>
                    <a:gd name="csY4" fmla="*/ 0 h 404091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</a:cxnLst>
                  <a:rect l="l" t="t" r="r" b="b"/>
                  <a:pathLst>
                    <a:path w="432954" h="404091" extrusionOk="0">
                      <a:moveTo>
                        <a:pt x="0" y="0"/>
                      </a:moveTo>
                      <a:cubicBezTo>
                        <a:pt x="138793" y="6561"/>
                        <a:pt x="297864" y="-14895"/>
                        <a:pt x="432954" y="0"/>
                      </a:cubicBezTo>
                      <a:cubicBezTo>
                        <a:pt x="448945" y="153556"/>
                        <a:pt x="434467" y="309905"/>
                        <a:pt x="432954" y="404091"/>
                      </a:cubicBezTo>
                      <a:cubicBezTo>
                        <a:pt x="298503" y="418202"/>
                        <a:pt x="177414" y="411797"/>
                        <a:pt x="0" y="404091"/>
                      </a:cubicBezTo>
                      <a:cubicBezTo>
                        <a:pt x="18516" y="278146"/>
                        <a:pt x="16919" y="106830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2</xdr:row>
      <xdr:rowOff>44450</xdr:rowOff>
    </xdr:from>
    <xdr:to>
      <xdr:col>15</xdr:col>
      <xdr:colOff>508000</xdr:colOff>
      <xdr:row>18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67BA7-5648-86F4-C6F3-543644BEA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0.10385</cdr:x>
      <cdr:y>0.27811</cdr:y>
    </cdr:from>
    <cdr:to>
      <cdr:x>0.97308</cdr:x>
      <cdr:y>0.27811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893771D-73BF-6C84-A1A7-BB1EF8447948}"/>
            </a:ext>
          </a:extLst>
        </cdr:cNvPr>
        <cdr:cNvCxnSpPr/>
      </cdr:nvCxnSpPr>
      <cdr:spPr>
        <a:xfrm xmlns:a="http://schemas.openxmlformats.org/drawingml/2006/main">
          <a:off x="685800" y="895350"/>
          <a:ext cx="5740400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749300</xdr:colOff>
      <xdr:row>11</xdr:row>
      <xdr:rowOff>95250</xdr:rowOff>
    </xdr:from>
    <xdr:to>
      <xdr:col>10</xdr:col>
      <xdr:colOff>787400</xdr:colOff>
      <xdr:row>26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9A31A2-9A98-B344-443F-ADE47CF88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0.31793</cdr:x>
      <cdr:y>0.21932</cdr:y>
    </cdr:from>
    <cdr:to>
      <cdr:x>0.40634</cdr:x>
      <cdr:y>0.27029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49D66280-204A-C1BD-682E-73E584185716}"/>
            </a:ext>
          </a:extLst>
        </cdr:cNvPr>
        <cdr:cNvCxnSpPr/>
      </cdr:nvCxnSpPr>
      <cdr:spPr>
        <a:xfrm xmlns:a="http://schemas.openxmlformats.org/drawingml/2006/main" flipV="1">
          <a:off x="1590925" y="675312"/>
          <a:ext cx="442359" cy="15696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0.72573</cdr:x>
      <cdr:y>0.46493</cdr:y>
    </cdr:from>
    <cdr:to>
      <cdr:x>0.80557</cdr:x>
      <cdr:y>0.55298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55D71BE7-B6F4-205F-ADBA-8B2CB8909AA1}"/>
            </a:ext>
          </a:extLst>
        </cdr:cNvPr>
        <cdr:cNvCxnSpPr/>
      </cdr:nvCxnSpPr>
      <cdr:spPr>
        <a:xfrm xmlns:a="http://schemas.openxmlformats.org/drawingml/2006/main" flipV="1">
          <a:off x="3631487" y="1431604"/>
          <a:ext cx="399550" cy="27112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0.38102</cdr:x>
      <cdr:y>0.20181</cdr:y>
    </cdr:from>
    <cdr:to>
      <cdr:x>0.56362</cdr:x>
      <cdr:y>0.49821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8D98449-1CB1-DCA3-44BF-AA84395A34D5}"/>
            </a:ext>
          </a:extLst>
        </cdr:cNvPr>
        <cdr:cNvSpPr txBox="1"/>
      </cdr:nvSpPr>
      <cdr:spPr>
        <a:xfrm xmlns:a="http://schemas.openxmlformats.org/drawingml/2006/main">
          <a:off x="1908037" y="6225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-</a:t>
          </a:r>
        </a:p>
      </cdr:txBody>
    </cdr:sp>
  </cdr:relSizeAnchor>
  <cdr:relSizeAnchor xmlns:cdr="http://schemas.openxmlformats.org/drawingml/2006/chartDrawing">
    <cdr:from>
      <cdr:x>0.17535</cdr:x>
      <cdr:y>0.17761</cdr:y>
    </cdr:from>
    <cdr:to>
      <cdr:x>0.35809</cdr:x>
      <cdr:y>0.26566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4ECE6A01-8F30-9517-548F-99DF43E5755C}"/>
            </a:ext>
          </a:extLst>
        </cdr:cNvPr>
        <cdr:cNvSpPr txBox="1"/>
      </cdr:nvSpPr>
      <cdr:spPr>
        <a:xfrm xmlns:a="http://schemas.openxmlformats.org/drawingml/2006/main">
          <a:off x="877441" y="546885"/>
          <a:ext cx="914400" cy="2711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accent1"/>
              </a:solidFill>
            </a:rPr>
            <a:t>+0.0022 J (3.0%)</a:t>
          </a:r>
        </a:p>
      </cdr:txBody>
    </cdr:sp>
  </cdr:relSizeAnchor>
  <cdr:relSizeAnchor xmlns:cdr="http://schemas.openxmlformats.org/drawingml/2006/chartDrawing">
    <cdr:from>
      <cdr:x>0.56053</cdr:x>
      <cdr:y>0.43821</cdr:y>
    </cdr:from>
    <cdr:to>
      <cdr:x>0.74326</cdr:x>
      <cdr:y>0.52626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2AB7330-898F-B187-654A-8003D6F25F8A}"/>
            </a:ext>
          </a:extLst>
        </cdr:cNvPr>
        <cdr:cNvSpPr txBox="1"/>
      </cdr:nvSpPr>
      <cdr:spPr>
        <a:xfrm xmlns:a="http://schemas.openxmlformats.org/drawingml/2006/main">
          <a:off x="2804845" y="1349339"/>
          <a:ext cx="914400" cy="2711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kern="1200">
              <a:solidFill>
                <a:schemeClr val="accent2"/>
              </a:solidFill>
            </a:rPr>
            <a:t>+0.0039 J (6.1%)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997F-5A6F-A24C-BA81-4CC0E96ACD10}">
  <dimension ref="A1:AF30"/>
  <sheetViews>
    <sheetView tabSelected="1" topLeftCell="H32" zoomScale="179" workbookViewId="0">
      <selection activeCell="P41" sqref="P41"/>
    </sheetView>
  </sheetViews>
  <sheetFormatPr baseColWidth="10" defaultRowHeight="16"/>
  <cols>
    <col min="2" max="2" width="13.83203125" bestFit="1" customWidth="1"/>
  </cols>
  <sheetData>
    <row r="1" spans="1:32">
      <c r="A1" t="s">
        <v>0</v>
      </c>
      <c r="B1">
        <v>64</v>
      </c>
      <c r="C1">
        <v>96</v>
      </c>
      <c r="D1">
        <v>128</v>
      </c>
      <c r="E1">
        <v>136</v>
      </c>
      <c r="F1">
        <v>144</v>
      </c>
      <c r="G1">
        <v>160</v>
      </c>
      <c r="H1">
        <v>192</v>
      </c>
      <c r="I1">
        <v>256</v>
      </c>
      <c r="J1">
        <v>512</v>
      </c>
      <c r="K1">
        <v>768</v>
      </c>
      <c r="L1">
        <v>1024</v>
      </c>
      <c r="M1">
        <v>1280</v>
      </c>
      <c r="N1">
        <v>1536</v>
      </c>
      <c r="O1">
        <v>2048</v>
      </c>
    </row>
    <row r="2" spans="1:32" ht="17">
      <c r="A2" t="s">
        <v>2</v>
      </c>
      <c r="B2" s="1">
        <v>1.5954165201018299E-2</v>
      </c>
      <c r="C2" s="1">
        <v>1.6945756269734501E-2</v>
      </c>
      <c r="D2" s="1">
        <v>1.8318146868967801E-2</v>
      </c>
      <c r="E2" s="1">
        <v>1.8780025296622298E-2</v>
      </c>
      <c r="F2" s="2">
        <v>1.9223188827286498E-2</v>
      </c>
      <c r="G2" s="1">
        <v>2.01110129786134E-2</v>
      </c>
      <c r="H2" s="1">
        <v>2.1892650176953399E-2</v>
      </c>
      <c r="I2" s="1">
        <v>2.5479881211392E-2</v>
      </c>
      <c r="J2" s="1">
        <v>4.0301934918849897E-2</v>
      </c>
      <c r="K2" s="2">
        <v>5.5788768505932201E-2</v>
      </c>
      <c r="L2" s="1">
        <v>7.2244586904715094E-2</v>
      </c>
      <c r="M2" s="2">
        <v>8.9137032679027603E-2</v>
      </c>
      <c r="N2" s="2">
        <v>0.106694256518977</v>
      </c>
      <c r="O2" s="1">
        <v>0.146181049353522</v>
      </c>
    </row>
    <row r="3" spans="1:32" ht="17">
      <c r="A3" t="s">
        <v>3</v>
      </c>
      <c r="B3" s="1">
        <v>1.47913035107234E-2</v>
      </c>
      <c r="C3" s="1">
        <v>1.5843654576779699E-2</v>
      </c>
      <c r="D3" s="1">
        <v>1.7156903327409E-2</v>
      </c>
      <c r="E3" s="1">
        <v>1.7595656363261099E-2</v>
      </c>
      <c r="F3" s="2">
        <v>1.7972411432424E-2</v>
      </c>
      <c r="G3" s="1">
        <v>1.86313706975741E-2</v>
      </c>
      <c r="H3" s="1">
        <v>2.00832919387759E-2</v>
      </c>
      <c r="I3" s="1">
        <v>2.28833025482932E-2</v>
      </c>
      <c r="J3" s="1">
        <v>3.5195593313390998E-2</v>
      </c>
      <c r="K3" s="2">
        <v>4.7906133309306299E-2</v>
      </c>
      <c r="L3" s="1">
        <v>6.3201416093534496E-2</v>
      </c>
      <c r="M3" s="2">
        <v>7.4530193273263504E-2</v>
      </c>
      <c r="N3" s="1">
        <v>0.10235559124443799</v>
      </c>
      <c r="O3" s="1">
        <v>0.145674955486538</v>
      </c>
    </row>
    <row r="4" spans="1:32">
      <c r="B4">
        <f t="shared" ref="B4" si="0">(B3-B2)/B2</f>
        <v>-7.28876550821147E-2</v>
      </c>
      <c r="C4">
        <f t="shared" ref="C4" si="1">(C3-C2)/C2</f>
        <v>-6.5037032010378942E-2</v>
      </c>
      <c r="D4">
        <f t="shared" ref="D4" si="2">(D3-D2)/D2</f>
        <v>-6.3393068625627574E-2</v>
      </c>
      <c r="E4">
        <f t="shared" ref="E4" si="3">(E3-E2)/E2</f>
        <v>-6.3065353462234949E-2</v>
      </c>
      <c r="F4">
        <f t="shared" ref="F4" si="4">(F3-F2)/F2</f>
        <v>-6.5066072341081777E-2</v>
      </c>
      <c r="G4">
        <f t="shared" ref="G4" si="5">(G3-G2)/G2</f>
        <v>-7.3573732094588729E-2</v>
      </c>
      <c r="H4">
        <f t="shared" ref="H4" si="6">(H3-H2)/H2</f>
        <v>-8.2646834602154634E-2</v>
      </c>
      <c r="I4">
        <f t="shared" ref="I4" si="7">(I3-I2)/I2</f>
        <v>-0.10190701603184379</v>
      </c>
      <c r="J4">
        <f t="shared" ref="J4" si="8">(J3-J2)/J2</f>
        <v>-0.12670214508908295</v>
      </c>
      <c r="K4">
        <f t="shared" ref="K4" si="9">(K3-K2)/K2</f>
        <v>-0.14129430363367343</v>
      </c>
      <c r="L4">
        <f t="shared" ref="L4" si="10">(L3-L2)/L2</f>
        <v>-0.1251743722073991</v>
      </c>
      <c r="M4">
        <f t="shared" ref="M4" si="11">(M3-M2)/M2</f>
        <v>-0.16386948237733781</v>
      </c>
      <c r="N4">
        <f t="shared" ref="N4" si="12">(N3-N2)/N2</f>
        <v>-4.0664468886076527E-2</v>
      </c>
      <c r="O4">
        <f>(O3-O2)/O2</f>
        <v>-3.4621031195368425E-3</v>
      </c>
    </row>
    <row r="6" spans="1:32">
      <c r="A6" t="s">
        <v>1</v>
      </c>
      <c r="B6">
        <v>64</v>
      </c>
      <c r="C6">
        <v>96</v>
      </c>
      <c r="D6">
        <v>128</v>
      </c>
      <c r="E6">
        <v>136</v>
      </c>
      <c r="F6">
        <v>144</v>
      </c>
      <c r="G6">
        <v>160</v>
      </c>
      <c r="H6">
        <v>192</v>
      </c>
      <c r="I6">
        <v>256</v>
      </c>
      <c r="J6">
        <v>512</v>
      </c>
      <c r="K6">
        <v>768</v>
      </c>
      <c r="L6">
        <v>1024</v>
      </c>
      <c r="M6">
        <v>1280</v>
      </c>
      <c r="N6">
        <v>1536</v>
      </c>
      <c r="O6">
        <v>2048</v>
      </c>
    </row>
    <row r="7" spans="1:32" ht="17">
      <c r="A7" t="s">
        <v>2</v>
      </c>
      <c r="B7" s="1">
        <v>3.3002708718754499E-4</v>
      </c>
      <c r="C7" s="1">
        <v>3.3127675436617199E-4</v>
      </c>
      <c r="D7" s="1">
        <v>3.7839238075321099E-4</v>
      </c>
      <c r="E7" s="1">
        <v>4.04179055749409E-4</v>
      </c>
      <c r="F7" s="2">
        <v>4.2802287350696101E-4</v>
      </c>
      <c r="G7" s="1">
        <v>4.7573332199135599E-4</v>
      </c>
      <c r="H7" s="1">
        <v>5.7124573618238996E-4</v>
      </c>
      <c r="I7" s="1">
        <v>7.6263619007477202E-4</v>
      </c>
      <c r="J7" s="1">
        <v>1.5486780944229299E-3</v>
      </c>
      <c r="K7" s="2">
        <v>2.3581258046760901E-3</v>
      </c>
      <c r="L7" s="1">
        <v>3.1909790459394502E-3</v>
      </c>
      <c r="M7" s="2">
        <v>4.0472379987477299E-3</v>
      </c>
      <c r="N7" s="2">
        <v>4.9269030459981799E-3</v>
      </c>
      <c r="O7" s="1">
        <v>6.7564495202532202E-3</v>
      </c>
    </row>
    <row r="8" spans="1:32" ht="17">
      <c r="A8" t="s">
        <v>3</v>
      </c>
      <c r="B8" s="1">
        <v>3.3112624461750702E-4</v>
      </c>
      <c r="C8" s="1">
        <v>3.3299751243021E-4</v>
      </c>
      <c r="D8" s="1">
        <v>3.7954474646539801E-4</v>
      </c>
      <c r="E8" s="1">
        <v>4.04574436970506E-4</v>
      </c>
      <c r="F8" s="2">
        <v>4.2846613825986402E-4</v>
      </c>
      <c r="G8" s="1">
        <v>4.7573332199135599E-4</v>
      </c>
      <c r="H8" s="1">
        <v>5.7287563640784302E-4</v>
      </c>
      <c r="I8" s="1">
        <v>7.6647740911539499E-4</v>
      </c>
      <c r="J8" s="1">
        <v>1.5665737378185399E-3</v>
      </c>
      <c r="K8" s="2">
        <v>2.4006957291931E-3</v>
      </c>
      <c r="L8" s="1">
        <v>3.2625616195218702E-3</v>
      </c>
      <c r="M8" s="2">
        <v>4.1590857799747001E-3</v>
      </c>
      <c r="N8" s="1">
        <v>5.03238884630263E-3</v>
      </c>
      <c r="O8" s="1">
        <v>6.9439798771782002E-3</v>
      </c>
    </row>
    <row r="9" spans="1:32">
      <c r="B9">
        <f t="shared" ref="B9:N9" si="13">(B8-B7)/B7</f>
        <v>3.3305067148546377E-3</v>
      </c>
      <c r="C9">
        <f t="shared" si="13"/>
        <v>5.1943217909457976E-3</v>
      </c>
      <c r="D9">
        <f t="shared" si="13"/>
        <v>3.0454252537886E-3</v>
      </c>
      <c r="E9">
        <f t="shared" si="13"/>
        <v>9.7823282892255873E-4</v>
      </c>
      <c r="F9">
        <f t="shared" si="13"/>
        <v>1.0356099646525198E-3</v>
      </c>
      <c r="G9">
        <f t="shared" si="13"/>
        <v>0</v>
      </c>
      <c r="H9">
        <f t="shared" si="13"/>
        <v>2.8532383214719573E-3</v>
      </c>
      <c r="I9">
        <f t="shared" si="13"/>
        <v>5.0367646993599371E-3</v>
      </c>
      <c r="J9">
        <f t="shared" si="13"/>
        <v>1.1555431345000254E-2</v>
      </c>
      <c r="K9">
        <f t="shared" si="13"/>
        <v>1.8052439964227143E-2</v>
      </c>
      <c r="L9">
        <f t="shared" si="13"/>
        <v>2.2432793369016157E-2</v>
      </c>
      <c r="M9">
        <f t="shared" si="13"/>
        <v>2.7635582899146891E-2</v>
      </c>
      <c r="N9">
        <f t="shared" si="13"/>
        <v>2.1410163609801438E-2</v>
      </c>
      <c r="O9">
        <f>(O8-O7)/O7</f>
        <v>2.7755754906898453E-2</v>
      </c>
    </row>
    <row r="10" spans="1:32">
      <c r="A10" t="s">
        <v>10</v>
      </c>
      <c r="B10">
        <v>64</v>
      </c>
      <c r="C10">
        <v>96</v>
      </c>
      <c r="D10">
        <v>128</v>
      </c>
      <c r="E10">
        <v>136</v>
      </c>
      <c r="F10">
        <v>144</v>
      </c>
      <c r="G10">
        <v>160</v>
      </c>
      <c r="H10">
        <v>192</v>
      </c>
      <c r="I10">
        <v>256</v>
      </c>
      <c r="J10">
        <v>512</v>
      </c>
      <c r="K10">
        <v>768</v>
      </c>
      <c r="L10">
        <v>1024</v>
      </c>
      <c r="M10">
        <v>1280</v>
      </c>
      <c r="N10">
        <v>1536</v>
      </c>
      <c r="O10">
        <v>2048</v>
      </c>
      <c r="R10" t="s">
        <v>10</v>
      </c>
      <c r="S10">
        <v>64</v>
      </c>
      <c r="T10">
        <v>96</v>
      </c>
      <c r="U10">
        <v>128</v>
      </c>
      <c r="V10">
        <v>136</v>
      </c>
      <c r="W10">
        <v>144</v>
      </c>
      <c r="X10">
        <v>160</v>
      </c>
      <c r="Y10">
        <v>192</v>
      </c>
      <c r="Z10">
        <v>256</v>
      </c>
      <c r="AA10">
        <v>512</v>
      </c>
      <c r="AB10">
        <v>768</v>
      </c>
      <c r="AC10">
        <v>1024</v>
      </c>
      <c r="AD10">
        <v>1280</v>
      </c>
      <c r="AE10">
        <v>1536</v>
      </c>
      <c r="AF10">
        <v>2048</v>
      </c>
    </row>
    <row r="11" spans="1:32">
      <c r="A11" t="s">
        <v>2</v>
      </c>
      <c r="B11">
        <f>B2*B7</f>
        <v>5.2653066698009626E-6</v>
      </c>
      <c r="C11">
        <f t="shared" ref="C11:O11" si="14">C2*C7</f>
        <v>5.6137351373178551E-6</v>
      </c>
      <c r="D11">
        <f t="shared" si="14"/>
        <v>6.931447204735704E-6</v>
      </c>
      <c r="E11">
        <f t="shared" si="14"/>
        <v>7.590492891338815E-6</v>
      </c>
      <c r="F11">
        <f t="shared" si="14"/>
        <v>8.2279645198220747E-6</v>
      </c>
      <c r="G11">
        <f t="shared" si="14"/>
        <v>9.5674790129270276E-6</v>
      </c>
      <c r="H11">
        <f t="shared" si="14"/>
        <v>1.2506083067317275E-5</v>
      </c>
      <c r="I11">
        <f t="shared" si="14"/>
        <v>1.9431879530613763E-5</v>
      </c>
      <c r="J11">
        <f t="shared" si="14"/>
        <v>6.2414723771681398E-5</v>
      </c>
      <c r="K11">
        <f t="shared" si="14"/>
        <v>1.3155693462493949E-4</v>
      </c>
      <c r="L11">
        <f t="shared" si="14"/>
        <v>2.3053096299549748E-4</v>
      </c>
      <c r="M11">
        <f t="shared" si="14"/>
        <v>3.6075878575417866E-4</v>
      </c>
      <c r="N11">
        <f t="shared" si="14"/>
        <v>5.2567225743385898E-4</v>
      </c>
      <c r="O11">
        <f t="shared" si="14"/>
        <v>9.8766488077471604E-4</v>
      </c>
      <c r="R11" t="s">
        <v>2</v>
      </c>
      <c r="S11">
        <v>5.2653066698009626E-6</v>
      </c>
      <c r="T11">
        <v>5.6137351373178551E-6</v>
      </c>
      <c r="U11">
        <v>6.931447204735704E-6</v>
      </c>
      <c r="V11">
        <v>7.590492891338815E-6</v>
      </c>
      <c r="W11">
        <v>8.2279645198220747E-6</v>
      </c>
      <c r="X11">
        <v>9.5674790129270276E-6</v>
      </c>
      <c r="Y11">
        <v>1.2506083067317275E-5</v>
      </c>
      <c r="Z11">
        <v>1.9431879530613763E-5</v>
      </c>
      <c r="AA11">
        <v>6.2414723771681398E-5</v>
      </c>
      <c r="AB11">
        <v>1.3155693462493949E-4</v>
      </c>
      <c r="AC11">
        <v>2.3053096299549748E-4</v>
      </c>
      <c r="AD11">
        <v>3.6075878575417866E-4</v>
      </c>
      <c r="AE11">
        <v>5.2567225743385898E-4</v>
      </c>
      <c r="AF11">
        <v>9.8766488077471604E-4</v>
      </c>
    </row>
    <row r="12" spans="1:32">
      <c r="A12" t="s">
        <v>3</v>
      </c>
      <c r="B12">
        <f>B3*B8</f>
        <v>4.8977887845035872E-6</v>
      </c>
      <c r="C12">
        <f t="shared" ref="C12:O12" si="15">C3*C8</f>
        <v>5.2758975618711511E-6</v>
      </c>
      <c r="D12">
        <f t="shared" si="15"/>
        <v>6.5118125235327929E-6</v>
      </c>
      <c r="E12">
        <f t="shared" si="15"/>
        <v>7.1187527662928603E-6</v>
      </c>
      <c r="F12">
        <f t="shared" si="15"/>
        <v>7.7005697216681432E-6</v>
      </c>
      <c r="G12">
        <f t="shared" si="15"/>
        <v>8.8635638752093337E-6</v>
      </c>
      <c r="H12">
        <f t="shared" si="15"/>
        <v>1.1505228650590748E-5</v>
      </c>
      <c r="I12">
        <f t="shared" si="15"/>
        <v>1.7539534449219489E-5</v>
      </c>
      <c r="J12">
        <f t="shared" si="15"/>
        <v>5.5136492171700146E-5</v>
      </c>
      <c r="K12">
        <f t="shared" si="15"/>
        <v>1.1500804963780695E-4</v>
      </c>
      <c r="L12">
        <f t="shared" si="15"/>
        <v>2.0619851444619749E-4</v>
      </c>
      <c r="M12">
        <f t="shared" si="15"/>
        <v>3.0997746702159627E-4</v>
      </c>
      <c r="N12">
        <f t="shared" si="15"/>
        <v>5.1509313573522091E-4</v>
      </c>
      <c r="O12">
        <f t="shared" si="15"/>
        <v>1.0115639595073499E-3</v>
      </c>
      <c r="R12" t="s">
        <v>3</v>
      </c>
      <c r="S12">
        <v>4.8977887845035872E-6</v>
      </c>
      <c r="T12">
        <v>5.2758975618711511E-6</v>
      </c>
      <c r="U12">
        <v>6.5118125235327929E-6</v>
      </c>
      <c r="V12">
        <v>7.1187527662928603E-6</v>
      </c>
      <c r="W12">
        <v>7.7005697216681432E-6</v>
      </c>
      <c r="X12">
        <v>8.8635638752093337E-6</v>
      </c>
      <c r="Y12">
        <v>1.1505228650590748E-5</v>
      </c>
      <c r="Z12">
        <v>1.7539534449219489E-5</v>
      </c>
      <c r="AA12">
        <v>5.5136492171700146E-5</v>
      </c>
      <c r="AB12">
        <v>1.1500804963780695E-4</v>
      </c>
      <c r="AC12">
        <v>2.0619851444619749E-4</v>
      </c>
      <c r="AD12">
        <v>3.0997746702159627E-4</v>
      </c>
      <c r="AE12">
        <v>5.1509313573522091E-4</v>
      </c>
      <c r="AF12">
        <v>1.0115639595073499E-3</v>
      </c>
    </row>
    <row r="15" spans="1:32">
      <c r="J15" s="1"/>
      <c r="K15" s="1"/>
    </row>
    <row r="16" spans="1:32">
      <c r="I16" t="s">
        <v>0</v>
      </c>
      <c r="J16" t="s">
        <v>2</v>
      </c>
      <c r="K16" t="s">
        <v>3</v>
      </c>
      <c r="S16" t="s">
        <v>10</v>
      </c>
      <c r="T16" t="s">
        <v>2</v>
      </c>
      <c r="U16" t="s">
        <v>3</v>
      </c>
    </row>
    <row r="17" spans="2:21">
      <c r="I17">
        <v>64</v>
      </c>
      <c r="J17" s="1">
        <v>1.5954165201018299E-2</v>
      </c>
      <c r="K17" s="1">
        <v>1.47913035107234E-2</v>
      </c>
      <c r="R17" s="1"/>
      <c r="S17">
        <v>64</v>
      </c>
      <c r="T17">
        <v>5.2653066698009626E-6</v>
      </c>
      <c r="U17">
        <v>4.8977887845035872E-6</v>
      </c>
    </row>
    <row r="18" spans="2:21">
      <c r="B18" t="s">
        <v>0</v>
      </c>
      <c r="C18" t="s">
        <v>2</v>
      </c>
      <c r="D18" t="s">
        <v>3</v>
      </c>
      <c r="I18">
        <v>96</v>
      </c>
      <c r="J18" s="1">
        <v>1.6945756269734501E-2</v>
      </c>
      <c r="K18" s="1">
        <v>1.5843654576779699E-2</v>
      </c>
      <c r="R18" s="1"/>
      <c r="S18">
        <v>96</v>
      </c>
      <c r="T18">
        <v>5.6137351373178551E-6</v>
      </c>
      <c r="U18">
        <v>5.2758975618711511E-6</v>
      </c>
    </row>
    <row r="19" spans="2:21">
      <c r="B19">
        <v>96</v>
      </c>
      <c r="C19" s="1">
        <v>1.6945756269734501E-2</v>
      </c>
      <c r="D19" s="1">
        <v>1.5843654576779699E-2</v>
      </c>
      <c r="I19">
        <v>128</v>
      </c>
      <c r="J19" s="1">
        <v>1.8318146868967801E-2</v>
      </c>
      <c r="K19" s="1">
        <v>1.7156903327409E-2</v>
      </c>
      <c r="R19" s="1"/>
      <c r="S19">
        <v>128</v>
      </c>
      <c r="T19">
        <v>6.931447204735704E-6</v>
      </c>
      <c r="U19">
        <v>6.5118125235327929E-6</v>
      </c>
    </row>
    <row r="20" spans="2:21">
      <c r="B20">
        <v>128</v>
      </c>
      <c r="C20" s="1">
        <v>1.8318146868967801E-2</v>
      </c>
      <c r="D20" s="1">
        <v>1.7156903327409E-2</v>
      </c>
      <c r="I20">
        <v>136</v>
      </c>
      <c r="J20" s="1">
        <v>1.8780025296622298E-2</v>
      </c>
      <c r="K20" s="1">
        <v>1.7595656363261099E-2</v>
      </c>
      <c r="R20" s="1"/>
      <c r="S20">
        <v>136</v>
      </c>
      <c r="T20">
        <v>7.590492891338815E-6</v>
      </c>
      <c r="U20">
        <v>7.1187527662928603E-6</v>
      </c>
    </row>
    <row r="21" spans="2:21" ht="17">
      <c r="B21">
        <v>136</v>
      </c>
      <c r="C21" s="1">
        <v>1.8780025296622298E-2</v>
      </c>
      <c r="D21" s="1">
        <v>1.7595656363261099E-2</v>
      </c>
      <c r="I21">
        <v>144</v>
      </c>
      <c r="J21" s="2">
        <v>1.9223188827286498E-2</v>
      </c>
      <c r="K21" s="2">
        <v>1.7972411432424E-2</v>
      </c>
      <c r="R21" s="2"/>
      <c r="S21">
        <v>144</v>
      </c>
      <c r="T21">
        <v>8.2279645198220747E-6</v>
      </c>
      <c r="U21">
        <v>7.7005697216681432E-6</v>
      </c>
    </row>
    <row r="22" spans="2:21" ht="17">
      <c r="B22">
        <v>144</v>
      </c>
      <c r="C22" s="2">
        <v>1.9223188827286498E-2</v>
      </c>
      <c r="D22" s="2">
        <v>1.7972411432424E-2</v>
      </c>
      <c r="I22">
        <v>160</v>
      </c>
      <c r="J22" s="1">
        <v>2.01110129786134E-2</v>
      </c>
      <c r="K22" s="1">
        <v>1.86313706975741E-2</v>
      </c>
      <c r="R22" s="1"/>
      <c r="S22">
        <v>160</v>
      </c>
      <c r="T22">
        <v>9.5674790129270276E-6</v>
      </c>
      <c r="U22">
        <v>8.8635638752093337E-6</v>
      </c>
    </row>
    <row r="23" spans="2:21">
      <c r="B23">
        <v>160</v>
      </c>
      <c r="C23" s="1">
        <v>2.01110129786134E-2</v>
      </c>
      <c r="D23" s="1">
        <v>1.86313706975741E-2</v>
      </c>
      <c r="I23">
        <v>192</v>
      </c>
      <c r="J23" s="1">
        <v>2.1892650176953399E-2</v>
      </c>
      <c r="K23" s="1">
        <v>2.00832919387759E-2</v>
      </c>
      <c r="R23" s="1"/>
      <c r="S23">
        <v>192</v>
      </c>
      <c r="T23">
        <v>1.2506083067317275E-5</v>
      </c>
      <c r="U23">
        <v>1.1505228650590748E-5</v>
      </c>
    </row>
    <row r="24" spans="2:21">
      <c r="B24">
        <v>192</v>
      </c>
      <c r="C24" s="1">
        <v>2.1892650176953399E-2</v>
      </c>
      <c r="D24" s="1">
        <v>2.00832919387759E-2</v>
      </c>
      <c r="I24">
        <v>256</v>
      </c>
      <c r="J24" s="1">
        <v>2.5479881211392E-2</v>
      </c>
      <c r="K24" s="1">
        <v>2.28833025482932E-2</v>
      </c>
      <c r="R24" s="1"/>
      <c r="S24">
        <v>256</v>
      </c>
      <c r="T24">
        <v>1.9431879530613763E-5</v>
      </c>
      <c r="U24">
        <v>1.7539534449219489E-5</v>
      </c>
    </row>
    <row r="25" spans="2:21">
      <c r="C25" s="1"/>
      <c r="D25" s="1"/>
      <c r="I25">
        <v>512</v>
      </c>
      <c r="J25" s="1">
        <v>4.0301934918849897E-2</v>
      </c>
      <c r="K25" s="1">
        <v>3.5195593313390998E-2</v>
      </c>
      <c r="R25" s="1"/>
      <c r="S25">
        <v>512</v>
      </c>
      <c r="T25">
        <v>6.2414723771681398E-5</v>
      </c>
      <c r="U25">
        <v>5.5136492171700146E-5</v>
      </c>
    </row>
    <row r="26" spans="2:21" ht="17">
      <c r="I26">
        <v>768</v>
      </c>
      <c r="J26" s="2">
        <v>5.5788768505932201E-2</v>
      </c>
      <c r="K26" s="2">
        <v>4.7906133309306299E-2</v>
      </c>
      <c r="R26" s="2"/>
      <c r="S26">
        <v>768</v>
      </c>
      <c r="T26">
        <v>1.3155693462493949E-4</v>
      </c>
      <c r="U26">
        <v>1.1500804963780695E-4</v>
      </c>
    </row>
    <row r="27" spans="2:21">
      <c r="I27">
        <v>1024</v>
      </c>
      <c r="J27" s="1">
        <v>7.2244586904715094E-2</v>
      </c>
      <c r="K27" s="1">
        <v>6.3201416093534496E-2</v>
      </c>
      <c r="R27" s="1"/>
      <c r="S27">
        <v>1024</v>
      </c>
      <c r="T27">
        <v>2.3053096299549748E-4</v>
      </c>
      <c r="U27">
        <v>2.0619851444619749E-4</v>
      </c>
    </row>
    <row r="28" spans="2:21" ht="17">
      <c r="I28">
        <v>1280</v>
      </c>
      <c r="J28" s="2">
        <v>8.9137032679027603E-2</v>
      </c>
      <c r="K28" s="2">
        <v>7.4530193273263504E-2</v>
      </c>
      <c r="R28" s="2"/>
      <c r="S28">
        <v>1280</v>
      </c>
      <c r="T28">
        <v>3.6075878575417866E-4</v>
      </c>
      <c r="U28">
        <v>3.0997746702159627E-4</v>
      </c>
    </row>
    <row r="29" spans="2:21" ht="17">
      <c r="I29">
        <v>1536</v>
      </c>
      <c r="J29" s="2">
        <v>0.106694256518977</v>
      </c>
      <c r="K29" s="1">
        <v>0.10235559124443799</v>
      </c>
      <c r="R29" s="2"/>
      <c r="S29">
        <v>1536</v>
      </c>
      <c r="T29">
        <v>5.2567225743385898E-4</v>
      </c>
      <c r="U29">
        <v>5.1509313573522091E-4</v>
      </c>
    </row>
    <row r="30" spans="2:21">
      <c r="I30">
        <v>2048</v>
      </c>
      <c r="J30" s="1">
        <v>0.146181049353522</v>
      </c>
      <c r="K30" s="1">
        <v>0.145674955486538</v>
      </c>
      <c r="R30" s="1"/>
      <c r="S30">
        <v>2048</v>
      </c>
      <c r="T30">
        <v>9.8766488077471604E-4</v>
      </c>
      <c r="U30">
        <v>1.0115639595073499E-3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2D27-A351-5645-978A-81DBCA516345}">
  <dimension ref="A1:F5"/>
  <sheetViews>
    <sheetView workbookViewId="0">
      <selection activeCell="F16" sqref="F16"/>
    </sheetView>
  </sheetViews>
  <sheetFormatPr baseColWidth="10" defaultRowHeight="16"/>
  <cols>
    <col min="1" max="1" width="11.6640625" bestFit="1" customWidth="1"/>
  </cols>
  <sheetData>
    <row r="1" spans="1:6">
      <c r="B1" t="s">
        <v>0</v>
      </c>
      <c r="C1" t="s">
        <v>1</v>
      </c>
      <c r="D1" t="s">
        <v>10</v>
      </c>
      <c r="E1" t="s">
        <v>11</v>
      </c>
    </row>
    <row r="2" spans="1:6">
      <c r="A2" t="s">
        <v>2</v>
      </c>
      <c r="B2" s="1">
        <v>7.2244586904715094E-2</v>
      </c>
      <c r="C2" s="1">
        <v>3.1909790459394502E-3</v>
      </c>
      <c r="D2">
        <f>B2*C2</f>
        <v>2.3053096299549748E-4</v>
      </c>
      <c r="E2">
        <f>(B2-B$2)/B$2</f>
        <v>0</v>
      </c>
      <c r="F2">
        <f>(D2-D$2)/D$2</f>
        <v>0</v>
      </c>
    </row>
    <row r="3" spans="1:6">
      <c r="A3" t="s">
        <v>5</v>
      </c>
      <c r="B3" s="1">
        <v>8.2569069279349594E-2</v>
      </c>
      <c r="C3" s="1">
        <v>3.1909790459394502E-3</v>
      </c>
      <c r="D3">
        <f t="shared" ref="D3:D5" si="0">B3*C3</f>
        <v>2.6347616991312736E-4</v>
      </c>
      <c r="E3">
        <f t="shared" ref="E3:F5" si="1">(B3-B$2)/B$2</f>
        <v>0.14291011710332951</v>
      </c>
      <c r="F3">
        <f t="shared" ref="F3:F5" si="2">(D3-D$2)/D$2</f>
        <v>0.1429101171033296</v>
      </c>
    </row>
    <row r="4" spans="1:6">
      <c r="A4" t="s">
        <v>6</v>
      </c>
      <c r="B4" s="1">
        <v>6.3201416093534496E-2</v>
      </c>
      <c r="C4" s="1">
        <v>3.2625616195218702E-3</v>
      </c>
      <c r="D4">
        <f t="shared" si="0"/>
        <v>2.0619851444619749E-4</v>
      </c>
      <c r="E4">
        <f t="shared" si="1"/>
        <v>-0.1251743722073991</v>
      </c>
      <c r="F4">
        <f t="shared" si="2"/>
        <v>-0.10554958966520789</v>
      </c>
    </row>
    <row r="5" spans="1:6">
      <c r="A5" t="s">
        <v>4</v>
      </c>
      <c r="B5" s="1">
        <v>7.3300504744262501E-2</v>
      </c>
      <c r="C5" s="1">
        <v>3.2625616195218702E-3</v>
      </c>
      <c r="D5">
        <f t="shared" si="0"/>
        <v>2.3914741347021159E-4</v>
      </c>
      <c r="E5">
        <f t="shared" si="1"/>
        <v>1.4615874832810374E-2</v>
      </c>
      <c r="F5">
        <f t="shared" si="2"/>
        <v>3.7376543101858326E-2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FDC2-27D1-9444-AE24-53B062D9615B}">
  <dimension ref="A1:G5"/>
  <sheetViews>
    <sheetView topLeftCell="B2" workbookViewId="0">
      <selection activeCell="N18" sqref="N18"/>
    </sheetView>
  </sheetViews>
  <sheetFormatPr baseColWidth="10" defaultRowHeight="16"/>
  <cols>
    <col min="1" max="1" width="17.5" bestFit="1" customWidth="1"/>
  </cols>
  <sheetData>
    <row r="1" spans="1:7">
      <c r="C1" t="s">
        <v>0</v>
      </c>
      <c r="D1" t="s">
        <v>1</v>
      </c>
    </row>
    <row r="2" spans="1:7">
      <c r="A2" s="3" t="s">
        <v>2</v>
      </c>
      <c r="B2" t="s">
        <v>7</v>
      </c>
      <c r="C2" s="1">
        <v>7.2244586904715094E-2</v>
      </c>
      <c r="D2" s="1">
        <v>3.1909790459394502E-3</v>
      </c>
      <c r="F2">
        <f>C3-C2</f>
        <v>2.1986206023680011E-3</v>
      </c>
      <c r="G2">
        <f>F2/C2</f>
        <v>3.0433015075133699E-2</v>
      </c>
    </row>
    <row r="3" spans="1:7" ht="17">
      <c r="A3" s="3"/>
      <c r="B3" t="s">
        <v>8</v>
      </c>
      <c r="C3" s="2">
        <v>7.4443207507083095E-2</v>
      </c>
      <c r="D3" s="2">
        <v>3.1909790459394502E-3</v>
      </c>
    </row>
    <row r="4" spans="1:7">
      <c r="A4" s="3" t="s">
        <v>9</v>
      </c>
      <c r="B4" t="s">
        <v>7</v>
      </c>
      <c r="C4" s="1">
        <v>6.3201416093534496E-2</v>
      </c>
      <c r="D4" s="1">
        <v>3.2625616195218702E-3</v>
      </c>
      <c r="F4">
        <f>C5-C4</f>
        <v>3.9018812465679981E-3</v>
      </c>
      <c r="G4">
        <f>F4/C4</f>
        <v>6.1737244000884983E-2</v>
      </c>
    </row>
    <row r="5" spans="1:7">
      <c r="A5" s="3"/>
      <c r="B5" t="s">
        <v>8</v>
      </c>
      <c r="C5" s="1">
        <v>6.7103297340102494E-2</v>
      </c>
      <c r="D5" s="1">
        <v>3.2438737225675101E-3</v>
      </c>
    </row>
  </sheetData>
  <mergeCells count="2">
    <mergeCell ref="A2:A3"/>
    <mergeCell ref="A4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2</vt:lpstr>
      <vt:lpstr>Experiment 1</vt:lpstr>
      <vt:lpstr>Experiment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Purohit</dc:creator>
  <cp:lastModifiedBy>Rishi Purohit</cp:lastModifiedBy>
  <dcterms:created xsi:type="dcterms:W3CDTF">2026-05-01T15:08:25Z</dcterms:created>
  <dcterms:modified xsi:type="dcterms:W3CDTF">2026-05-02T00:46:19Z</dcterms:modified>
</cp:coreProperties>
</file>